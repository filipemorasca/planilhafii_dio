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wglobal-my.sharepoint.com/personal/fmorasca_sgw_com_br/Documents/Downloads/"/>
    </mc:Choice>
  </mc:AlternateContent>
  <xr:revisionPtr revIDLastSave="132" documentId="13_ncr:1_{926FCA76-629B-4D83-94EF-1A2760DA021F}" xr6:coauthVersionLast="47" xr6:coauthVersionMax="47" xr10:uidLastSave="{C5B5CA61-07B6-4E92-83A3-9FEAF79D92DD}"/>
  <bookViews>
    <workbookView xWindow="-108" yWindow="-108" windowWidth="23256" windowHeight="12456" tabRatio="345" xr2:uid="{D63472A4-8300-4934-9C87-0EC792DCF89D}"/>
  </bookViews>
  <sheets>
    <sheet name="Dashboard" sheetId="1" r:id="rId1"/>
    <sheet name="Dados auxiliares" sheetId="2" r:id="rId2"/>
  </sheets>
  <definedNames>
    <definedName name="aporte">Dashboard!$D$12</definedName>
    <definedName name="patrimonio">Dashboard!$D$15</definedName>
    <definedName name="qtd_anos">Dashboard!$D$13</definedName>
    <definedName name="rendimento_carteira">Dashboard!$D$8</definedName>
    <definedName name="salario">Dashboard!$D$7</definedName>
    <definedName name="sugestao_investimento">Dashboard!$D$9</definedName>
    <definedName name="taxa_mensal">Dashboard!$D$14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29" i="1"/>
  <c r="C30" i="1"/>
  <c r="C31" i="1"/>
  <c r="C32" i="1"/>
  <c r="C33" i="1"/>
  <c r="C34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26" i="1"/>
  <c r="D15" i="1"/>
  <c r="D16" i="1" s="1"/>
  <c r="C22" i="1"/>
  <c r="D22" i="1" s="1"/>
  <c r="C21" i="1"/>
  <c r="D21" i="1" s="1"/>
  <c r="C20" i="1"/>
  <c r="D20" i="1" s="1"/>
  <c r="C23" i="1"/>
  <c r="D23" i="1" s="1"/>
  <c r="C19" i="1"/>
  <c r="D19" i="1" s="1"/>
  <c r="D29" i="1" l="1"/>
  <c r="D34" i="1"/>
  <c r="D32" i="1"/>
  <c r="D31" i="1"/>
  <c r="D33" i="1"/>
  <c r="D30" i="1"/>
  <c r="D35" i="1" l="1"/>
</calcChain>
</file>

<file path=xl/sharedStrings.xml><?xml version="1.0" encoding="utf-8"?>
<sst xmlns="http://schemas.openxmlformats.org/spreadsheetml/2006/main" count="72" uniqueCount="35">
  <si>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</si>
  <si>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</si>
  <si>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</si>
  <si>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</si>
  <si>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</si>
  <si>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</si>
  <si>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</si>
  <si>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</si>
  <si>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</si>
  <si>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</si>
  <si>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</si>
  <si>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</si>
  <si>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</si>
  <si>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</si>
  <si>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</si>
  <si>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</si>
  <si>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</si>
  <si>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</si>
  <si>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</si>
  <si>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</si>
  <si>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</si>
  <si>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</si>
  <si>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</si>
  <si>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</si>
  <si>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</si>
  <si>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</si>
  <si>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</si>
  <si>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</si>
  <si>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</si>
  <si>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</si>
  <si>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</si>
  <si>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</si>
  <si>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SIMULADOR DE FUNDOS IMOBILIÁRIOS</t>
  </si>
  <si>
    <t>Sugestão de Investimento (20%)</t>
  </si>
  <si>
    <t>Valor a ser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</si>
</sst>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Calibri"/>
      <family val="2"/>
      <scheme val="minor"/>
    </font>
    <font>
      <sz val="12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8" fillId="3" borderId="5" xfId="0" applyFont="1" applyFill="1" applyBorder="1" applyAlignment="1">
      <alignment horizontal="left" indent="3"/>
    </xf>
    <xf numFmtId="164" fontId="9" fillId="3" borderId="6" xfId="0" applyNumberFormat="1" applyFont="1" applyFill="1" applyBorder="1" applyAlignment="1">
      <alignment horizontal="center"/>
    </xf>
    <xf numFmtId="164" fontId="9" fillId="3" borderId="7" xfId="0" applyNumberFormat="1" applyFont="1" applyFill="1" applyBorder="1" applyAlignment="1">
      <alignment horizontal="center"/>
    </xf>
    <xf numFmtId="0" fontId="8" fillId="3" borderId="8" xfId="0" applyFont="1" applyFill="1" applyBorder="1" applyAlignment="1">
      <alignment horizontal="left" indent="3"/>
    </xf>
    <xf numFmtId="164" fontId="9" fillId="3" borderId="9" xfId="0" applyNumberFormat="1" applyFont="1" applyFill="1" applyBorder="1" applyAlignment="1">
      <alignment horizontal="center"/>
    </xf>
    <xf numFmtId="164" fontId="9" fillId="3" borderId="10" xfId="0" applyNumberFormat="1" applyFont="1" applyFill="1" applyBorder="1" applyAlignment="1">
      <alignment horizontal="center"/>
    </xf>
    <xf numFmtId="0" fontId="8" fillId="3" borderId="11" xfId="0" applyFont="1" applyFill="1" applyBorder="1" applyAlignment="1">
      <alignment horizontal="left" indent="3"/>
    </xf>
    <xf numFmtId="164" fontId="9" fillId="3" borderId="12" xfId="0" applyNumberFormat="1" applyFont="1" applyFill="1" applyBorder="1" applyAlignment="1">
      <alignment horizontal="center"/>
    </xf>
    <xf numFmtId="164" fontId="9" fillId="3" borderId="13" xfId="0" applyNumberFormat="1" applyFont="1" applyFill="1" applyBorder="1" applyAlignment="1">
      <alignment horizontal="center"/>
    </xf>
    <xf numFmtId="164" fontId="10" fillId="0" borderId="16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8" fontId="10" fillId="3" borderId="19" xfId="0" applyNumberFormat="1" applyFont="1" applyFill="1" applyBorder="1" applyAlignment="1">
      <alignment horizontal="center"/>
    </xf>
    <xf numFmtId="8" fontId="10" fillId="3" borderId="22" xfId="0" applyNumberFormat="1" applyFont="1" applyFill="1" applyBorder="1" applyAlignment="1">
      <alignment horizontal="center"/>
    </xf>
    <xf numFmtId="164" fontId="9" fillId="0" borderId="16" xfId="1" applyNumberFormat="1" applyFont="1" applyBorder="1" applyAlignment="1">
      <alignment horizontal="center"/>
    </xf>
    <xf numFmtId="10" fontId="9" fillId="0" borderId="19" xfId="0" applyNumberFormat="1" applyFont="1" applyBorder="1" applyAlignment="1">
      <alignment horizontal="center"/>
    </xf>
    <xf numFmtId="164" fontId="9" fillId="4" borderId="22" xfId="0" applyNumberFormat="1" applyFont="1" applyFill="1" applyBorder="1" applyAlignment="1">
      <alignment horizontal="center"/>
    </xf>
    <xf numFmtId="0" fontId="2" fillId="2" borderId="0" xfId="3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2" fillId="2" borderId="0" xfId="2" applyFont="1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0" fillId="0" borderId="23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64" fontId="0" fillId="4" borderId="24" xfId="0" applyNumberForma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3" fillId="6" borderId="25" xfId="0" applyFont="1" applyFill="1" applyBorder="1"/>
    <xf numFmtId="0" fontId="3" fillId="6" borderId="4" xfId="0" applyFont="1" applyFill="1" applyBorder="1"/>
    <xf numFmtId="0" fontId="0" fillId="4" borderId="25" xfId="0" applyFont="1" applyFill="1" applyBorder="1"/>
    <xf numFmtId="0" fontId="6" fillId="8" borderId="2" xfId="0" applyFont="1" applyFill="1" applyBorder="1" applyAlignment="1">
      <alignment vertical="center"/>
    </xf>
    <xf numFmtId="0" fontId="6" fillId="8" borderId="24" xfId="0" applyFont="1" applyFill="1" applyBorder="1" applyAlignment="1">
      <alignment vertical="center"/>
    </xf>
    <xf numFmtId="0" fontId="6" fillId="8" borderId="26" xfId="0" applyFont="1" applyFill="1" applyBorder="1" applyAlignment="1">
      <alignment vertical="center"/>
    </xf>
    <xf numFmtId="0" fontId="12" fillId="6" borderId="1" xfId="3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164" fontId="12" fillId="6" borderId="26" xfId="0" applyNumberFormat="1" applyFont="1" applyFill="1" applyBorder="1" applyAlignment="1">
      <alignment horizontal="center"/>
    </xf>
    <xf numFmtId="164" fontId="3" fillId="4" borderId="4" xfId="1" applyNumberFormat="1" applyFont="1" applyFill="1" applyBorder="1" applyAlignment="1">
      <alignment horizontal="center"/>
    </xf>
    <xf numFmtId="164" fontId="3" fillId="4" borderId="26" xfId="1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3" fillId="2" borderId="3" xfId="3" applyFont="1" applyBorder="1" applyAlignment="1">
      <alignment horizontal="center"/>
    </xf>
    <xf numFmtId="0" fontId="13" fillId="2" borderId="2" xfId="3" applyFont="1" applyBorder="1" applyAlignment="1">
      <alignment horizontal="center"/>
    </xf>
    <xf numFmtId="0" fontId="8" fillId="4" borderId="14" xfId="0" applyFont="1" applyFill="1" applyBorder="1" applyAlignment="1">
      <alignment horizontal="left" indent="3"/>
    </xf>
    <xf numFmtId="0" fontId="8" fillId="4" borderId="15" xfId="0" applyFont="1" applyFill="1" applyBorder="1" applyAlignment="1">
      <alignment horizontal="left" indent="3"/>
    </xf>
    <xf numFmtId="0" fontId="8" fillId="4" borderId="17" xfId="0" applyFont="1" applyFill="1" applyBorder="1" applyAlignment="1">
      <alignment horizontal="left" indent="3"/>
    </xf>
    <xf numFmtId="0" fontId="8" fillId="4" borderId="18" xfId="0" applyFont="1" applyFill="1" applyBorder="1" applyAlignment="1">
      <alignment horizontal="left" indent="3"/>
    </xf>
    <xf numFmtId="0" fontId="8" fillId="4" borderId="20" xfId="0" applyFont="1" applyFill="1" applyBorder="1" applyAlignment="1">
      <alignment horizontal="left" indent="3"/>
    </xf>
    <xf numFmtId="0" fontId="8" fillId="4" borderId="21" xfId="0" applyFont="1" applyFill="1" applyBorder="1" applyAlignment="1">
      <alignment horizontal="left" indent="3"/>
    </xf>
    <xf numFmtId="0" fontId="11" fillId="3" borderId="17" xfId="0" applyFont="1" applyFill="1" applyBorder="1" applyAlignment="1">
      <alignment horizontal="left" indent="3"/>
    </xf>
    <xf numFmtId="0" fontId="11" fillId="3" borderId="18" xfId="0" applyFont="1" applyFill="1" applyBorder="1" applyAlignment="1">
      <alignment horizontal="left" indent="3"/>
    </xf>
    <xf numFmtId="0" fontId="11" fillId="3" borderId="20" xfId="0" applyFont="1" applyFill="1" applyBorder="1" applyAlignment="1">
      <alignment horizontal="left" indent="3"/>
    </xf>
    <xf numFmtId="0" fontId="11" fillId="3" borderId="21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49-41BD-A2AE-79B59333D8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49-41BD-A2AE-79B59333D8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49-41BD-A2AE-79B59333D8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49-41BD-A2AE-79B59333D8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49-41BD-A2AE-79B59333D81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49-41BD-A2AE-79B59333D8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Dashboard!$C$29:$C$34</c:f>
              <c:numCache>
                <c:formatCode>0%</c:formatCode>
                <c:ptCount val="6"/>
                <c:pt idx="0">
                  <c:v>0.4</c:v>
                </c:pt>
                <c:pt idx="1">
                  <c:v>0.35</c:v>
                </c:pt>
                <c:pt idx="2">
                  <c:v>0.1</c:v>
                </c:pt>
                <c:pt idx="3">
                  <c:v>0.1</c:v>
                </c:pt>
                <c:pt idx="4">
                  <c:v>0.03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acumulado ao</a:t>
            </a:r>
            <a:r>
              <a:rPr lang="pt-BR" baseline="0"/>
              <a:t> longo dos anos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Dashboard!$A$19:$A$23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Dashboard!$C$19:$C$23</c:f>
              <c:numCache>
                <c:formatCode>"R$"\ #,##0.00</c:formatCode>
                <c:ptCount val="5"/>
                <c:pt idx="0">
                  <c:v>13486.732426595749</c:v>
                </c:pt>
                <c:pt idx="1">
                  <c:v>40834.834928204567</c:v>
                </c:pt>
                <c:pt idx="2">
                  <c:v>115019.34472868349</c:v>
                </c:pt>
                <c:pt idx="3">
                  <c:v>494627.68269368151</c:v>
                </c:pt>
                <c:pt idx="4">
                  <c:v>1747482.0663842531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2-44C9-8AA5-15E605EFB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581120"/>
        <c:axId val="1776656256"/>
      </c:lineChart>
      <c:catAx>
        <c:axId val="14175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6656256"/>
        <c:crosses val="autoZero"/>
        <c:auto val="1"/>
        <c:lblAlgn val="ctr"/>
        <c:lblOffset val="100"/>
        <c:noMultiLvlLbl val="0"/>
      </c:catAx>
      <c:valAx>
        <c:axId val="17766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58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35</xdr:row>
      <xdr:rowOff>97971</xdr:rowOff>
    </xdr:from>
    <xdr:to>
      <xdr:col>4</xdr:col>
      <xdr:colOff>0</xdr:colOff>
      <xdr:row>48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346362</xdr:colOff>
      <xdr:row>48</xdr:row>
      <xdr:rowOff>79665</xdr:rowOff>
    </xdr:from>
    <xdr:to>
      <xdr:col>4</xdr:col>
      <xdr:colOff>6926</xdr:colOff>
      <xdr:row>63</xdr:row>
      <xdr:rowOff>121229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B86E72-C0B3-4C7F-85E3-93BAEB3BC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228600</xdr:colOff>
      <xdr:row>0</xdr:row>
      <xdr:rowOff>145473</xdr:rowOff>
    </xdr:from>
    <xdr:to>
      <xdr:col>3</xdr:col>
      <xdr:colOff>872837</xdr:colOff>
      <xdr:row>4</xdr:row>
      <xdr:rowOff>55419</xdr:rowOff>
    </xdr:to>
    <xdr:pic>
      <xdr:nvPicPr>
        <xdr:cNvPr id="7" name="Gráfico 6" descr="Gráfico de barras com tendência ascendente com preenchimento sólido">
          <a:extLst>
            <a:ext uri="{FF2B5EF4-FFF2-40B4-BE49-F238E27FC236}">
              <a16:creationId xmlns:a16="http://schemas.microsoft.com/office/drawing/2014/main" id="{78A152D5-243E-C4F8-E612-52A898A02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008418" y="145473"/>
          <a:ext cx="644237" cy="644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:H75"/>
  <sheetViews>
    <sheetView showGridLines="0" tabSelected="1" zoomScale="110" zoomScaleNormal="110" workbookViewId="0">
      <selection activeCell="E49" sqref="E49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bestFit="1" customWidth="1"/>
    <col min="4" max="4" width="16.5546875" bestFit="1" customWidth="1"/>
    <col min="5" max="5" width="5.44140625" customWidth="1"/>
    <col min="6" max="8" width="3.5546875" hidden="1" customWidth="1"/>
    <col min="9" max="16384" width="8.77734375" hidden="1"/>
  </cols>
  <sheetData>
    <row r="1" spans="2:6" ht="15" thickBot="1" x14ac:dyDescent="0.35"/>
    <row r="2" spans="2:6" ht="14.4" customHeight="1" x14ac:dyDescent="0.3">
      <c r="B2" s="52" t="s">
        <v>32</v>
      </c>
      <c r="C2" s="53"/>
      <c r="D2" s="39"/>
    </row>
    <row r="3" spans="2:6" ht="14.4" customHeight="1" x14ac:dyDescent="0.3">
      <c r="B3" s="54"/>
      <c r="C3" s="55"/>
      <c r="D3" s="40"/>
    </row>
    <row r="4" spans="2:6" ht="14.4" customHeight="1" thickBot="1" x14ac:dyDescent="0.35">
      <c r="B4" s="56"/>
      <c r="C4" s="57"/>
      <c r="D4" s="41"/>
    </row>
    <row r="5" spans="2:6" ht="15" thickBot="1" x14ac:dyDescent="0.35"/>
    <row r="6" spans="2:6" ht="27" x14ac:dyDescent="0.3">
      <c r="B6" s="49" t="s">
        <v>15</v>
      </c>
      <c r="C6" s="50"/>
      <c r="D6" s="51"/>
    </row>
    <row r="7" spans="2:6" ht="19.2" x14ac:dyDescent="0.45">
      <c r="B7" s="60" t="s">
        <v>14</v>
      </c>
      <c r="C7" s="61"/>
      <c r="D7" s="19">
        <v>5000</v>
      </c>
    </row>
    <row r="8" spans="2:6" ht="19.2" x14ac:dyDescent="0.45">
      <c r="B8" s="62" t="s">
        <v>13</v>
      </c>
      <c r="C8" s="63"/>
      <c r="D8" s="20">
        <v>0.01</v>
      </c>
    </row>
    <row r="9" spans="2:6" ht="19.8" thickBot="1" x14ac:dyDescent="0.5">
      <c r="B9" s="64" t="s">
        <v>33</v>
      </c>
      <c r="C9" s="65"/>
      <c r="D9" s="21">
        <f>D7*20%</f>
        <v>1000</v>
      </c>
    </row>
    <row r="10" spans="2:6" ht="15" thickBot="1" x14ac:dyDescent="0.35"/>
    <row r="11" spans="2:6" ht="28.5" customHeight="1" x14ac:dyDescent="0.3">
      <c r="B11" s="49" t="s">
        <v>5</v>
      </c>
      <c r="C11" s="50"/>
      <c r="D11" s="51"/>
    </row>
    <row r="12" spans="2:6" ht="19.2" x14ac:dyDescent="0.45">
      <c r="B12" s="60" t="s">
        <v>0</v>
      </c>
      <c r="C12" s="61"/>
      <c r="D12" s="14">
        <v>500</v>
      </c>
    </row>
    <row r="13" spans="2:6" ht="19.2" x14ac:dyDescent="0.45">
      <c r="B13" s="62" t="s">
        <v>1</v>
      </c>
      <c r="C13" s="63"/>
      <c r="D13" s="15">
        <v>25</v>
      </c>
    </row>
    <row r="14" spans="2:6" ht="19.2" x14ac:dyDescent="0.45">
      <c r="B14" s="62" t="s">
        <v>2</v>
      </c>
      <c r="C14" s="63"/>
      <c r="D14" s="16">
        <v>0.01</v>
      </c>
    </row>
    <row r="15" spans="2:6" ht="19.2" x14ac:dyDescent="0.45">
      <c r="B15" s="66" t="s">
        <v>3</v>
      </c>
      <c r="C15" s="67"/>
      <c r="D15" s="17">
        <f>FV(taxa_mensal,qtd_anos*12,aporte*-1)</f>
        <v>939423.3130962227</v>
      </c>
    </row>
    <row r="16" spans="2:6" ht="19.8" thickBot="1" x14ac:dyDescent="0.5">
      <c r="B16" s="68" t="s">
        <v>4</v>
      </c>
      <c r="C16" s="69"/>
      <c r="D16" s="18">
        <f>patrimonio*rendimento_carteira</f>
        <v>9394.2331309622277</v>
      </c>
      <c r="F16" s="3"/>
    </row>
    <row r="17" spans="1:4" ht="15" thickBot="1" x14ac:dyDescent="0.35"/>
    <row r="18" spans="1:4" ht="27" x14ac:dyDescent="0.3">
      <c r="B18" s="49" t="s">
        <v>11</v>
      </c>
      <c r="C18" s="50"/>
      <c r="D18" s="35" t="s">
        <v>12</v>
      </c>
    </row>
    <row r="19" spans="1:4" ht="19.2" x14ac:dyDescent="0.45">
      <c r="A19" s="1">
        <v>2</v>
      </c>
      <c r="B19" s="5" t="s">
        <v>6</v>
      </c>
      <c r="C19" s="6">
        <f>FV($D$14,$A19*12,$D$12*-1)</f>
        <v>13486.732426595749</v>
      </c>
      <c r="D19" s="7">
        <f>C19*rendimento_carteira</f>
        <v>134.86732426595748</v>
      </c>
    </row>
    <row r="20" spans="1:4" ht="19.2" x14ac:dyDescent="0.45">
      <c r="A20" s="1">
        <v>5</v>
      </c>
      <c r="B20" s="8" t="s">
        <v>7</v>
      </c>
      <c r="C20" s="9">
        <f>FV($D$14,$A20*12,$D$12*-1)</f>
        <v>40834.834928204567</v>
      </c>
      <c r="D20" s="10">
        <f>C20*rendimento_carteira</f>
        <v>408.34834928204566</v>
      </c>
    </row>
    <row r="21" spans="1:4" ht="19.2" x14ac:dyDescent="0.45">
      <c r="A21" s="1">
        <v>10</v>
      </c>
      <c r="B21" s="8" t="s">
        <v>8</v>
      </c>
      <c r="C21" s="9">
        <f>FV($D$14,$A21*12,$D$12*-1)</f>
        <v>115019.34472868349</v>
      </c>
      <c r="D21" s="10">
        <f>C21*rendimento_carteira</f>
        <v>1150.193447286835</v>
      </c>
    </row>
    <row r="22" spans="1:4" ht="19.2" x14ac:dyDescent="0.45">
      <c r="A22" s="1">
        <v>20</v>
      </c>
      <c r="B22" s="8" t="s">
        <v>9</v>
      </c>
      <c r="C22" s="9">
        <f>FV($D$14,$A22*12,$D$12*-1)</f>
        <v>494627.68269368151</v>
      </c>
      <c r="D22" s="10">
        <f>C22*rendimento_carteira</f>
        <v>4946.2768269368153</v>
      </c>
    </row>
    <row r="23" spans="1:4" ht="19.8" thickBot="1" x14ac:dyDescent="0.5">
      <c r="A23" s="1">
        <v>30</v>
      </c>
      <c r="B23" s="11" t="s">
        <v>10</v>
      </c>
      <c r="C23" s="12">
        <f>FV($D$14,$A23*12,$D$12*-1)</f>
        <v>1747482.0663842531</v>
      </c>
      <c r="D23" s="13">
        <f>C23*rendimento_carteira</f>
        <v>17474.820663842533</v>
      </c>
    </row>
    <row r="24" spans="1:4" ht="15" thickBot="1" x14ac:dyDescent="0.35"/>
    <row r="25" spans="1:4" ht="15.6" x14ac:dyDescent="0.3">
      <c r="B25" s="42" t="s">
        <v>19</v>
      </c>
      <c r="C25" s="58" t="s">
        <v>16</v>
      </c>
      <c r="D25" s="59"/>
    </row>
    <row r="26" spans="1:4" ht="15" thickBot="1" x14ac:dyDescent="0.35">
      <c r="B26" s="38" t="s">
        <v>34</v>
      </c>
      <c r="C26" s="47">
        <f>aporte</f>
        <v>500</v>
      </c>
      <c r="D26" s="48"/>
    </row>
    <row r="27" spans="1:4" ht="15" thickBot="1" x14ac:dyDescent="0.35"/>
    <row r="28" spans="1:4" ht="15.6" x14ac:dyDescent="0.3">
      <c r="B28" s="43" t="s">
        <v>20</v>
      </c>
      <c r="C28" s="44" t="s">
        <v>21</v>
      </c>
      <c r="D28" s="45" t="s">
        <v>22</v>
      </c>
    </row>
    <row r="29" spans="1:4" x14ac:dyDescent="0.3">
      <c r="B29" s="32" t="s">
        <v>23</v>
      </c>
      <c r="C29" s="33">
        <f>VLOOKUP($C$25&amp;"-"&amp;B29,'Dados auxiliares'!$A:$D,4,FALSE)</f>
        <v>0.4</v>
      </c>
      <c r="D29" s="34">
        <f>C29*$C$26</f>
        <v>200</v>
      </c>
    </row>
    <row r="30" spans="1:4" x14ac:dyDescent="0.3">
      <c r="B30" s="32" t="s">
        <v>24</v>
      </c>
      <c r="C30" s="33">
        <f>VLOOKUP($C$25&amp;"-"&amp;B30,'Dados auxiliares'!$A:$D,4,FALSE)</f>
        <v>0.35</v>
      </c>
      <c r="D30" s="34">
        <f t="shared" ref="D30:D34" si="0">C30*$C$26</f>
        <v>175</v>
      </c>
    </row>
    <row r="31" spans="1:4" x14ac:dyDescent="0.3">
      <c r="B31" s="32" t="s">
        <v>25</v>
      </c>
      <c r="C31" s="33">
        <f>VLOOKUP($C$25&amp;"-"&amp;B31,'Dados auxiliares'!$A:$D,4,FALSE)</f>
        <v>0.1</v>
      </c>
      <c r="D31" s="34">
        <f t="shared" si="0"/>
        <v>50</v>
      </c>
    </row>
    <row r="32" spans="1:4" x14ac:dyDescent="0.3">
      <c r="B32" s="32" t="s">
        <v>26</v>
      </c>
      <c r="C32" s="33">
        <f>VLOOKUP($C$25&amp;"-"&amp;B32,'Dados auxiliares'!$A:$D,4,FALSE)</f>
        <v>0.1</v>
      </c>
      <c r="D32" s="34">
        <f t="shared" si="0"/>
        <v>50</v>
      </c>
    </row>
    <row r="33" spans="2:4" x14ac:dyDescent="0.3">
      <c r="B33" s="32" t="s">
        <v>27</v>
      </c>
      <c r="C33" s="33">
        <f>VLOOKUP($C$25&amp;"-"&amp;B33,'Dados auxiliares'!$A:$D,4,FALSE)</f>
        <v>0.03</v>
      </c>
      <c r="D33" s="34">
        <f t="shared" si="0"/>
        <v>15</v>
      </c>
    </row>
    <row r="34" spans="2:4" x14ac:dyDescent="0.3">
      <c r="B34" s="32" t="s">
        <v>28</v>
      </c>
      <c r="C34" s="33">
        <f>VLOOKUP($C$25&amp;"-"&amp;B34,'Dados auxiliares'!$A:$D,4,FALSE)</f>
        <v>0.02</v>
      </c>
      <c r="D34" s="34">
        <f t="shared" si="0"/>
        <v>10</v>
      </c>
    </row>
    <row r="35" spans="2:4" ht="16.2" thickBot="1" x14ac:dyDescent="0.35">
      <c r="B35" s="36"/>
      <c r="C35" s="37"/>
      <c r="D35" s="46">
        <f>SUM(D29:D34)</f>
        <v>500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</sheetData>
  <mergeCells count="14">
    <mergeCell ref="C26:D26"/>
    <mergeCell ref="B6:D6"/>
    <mergeCell ref="B2:C4"/>
    <mergeCell ref="C25:D25"/>
    <mergeCell ref="B7:C7"/>
    <mergeCell ref="B8:C8"/>
    <mergeCell ref="B9:C9"/>
    <mergeCell ref="B15:C15"/>
    <mergeCell ref="B18:C18"/>
    <mergeCell ref="B12:C12"/>
    <mergeCell ref="B13:C13"/>
    <mergeCell ref="B14:C14"/>
    <mergeCell ref="B16:C16"/>
    <mergeCell ref="B11:D11"/>
  </mergeCells>
  <conditionalFormatting sqref="C25:D25">
    <cfRule type="containsText" dxfId="2" priority="3" operator="containsText" text="Moderado">
      <formula>NOT(ISERROR(SEARCH("Moderado",C25)))</formula>
    </cfRule>
    <cfRule type="containsText" dxfId="1" priority="2" operator="containsText" text="Conservador">
      <formula>NOT(ISERROR(SEARCH("Conservador",C25)))</formula>
    </cfRule>
    <cfRule type="containsText" dxfId="0" priority="1" operator="containsText" text="Agressivo">
      <formula>NOT(ISERROR(SEARCH("Agressivo",C25)))</formula>
    </cfRule>
  </conditionalFormatting>
  <dataValidations count="1">
    <dataValidation type="list" allowBlank="1" showInputMessage="1" showErrorMessage="1" sqref="C25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F19" sqref="F19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27" t="s">
        <v>30</v>
      </c>
      <c r="B2" s="27" t="s">
        <v>19</v>
      </c>
      <c r="C2" s="28" t="s">
        <v>20</v>
      </c>
      <c r="D2" s="28" t="s">
        <v>29</v>
      </c>
    </row>
    <row r="3" spans="1:8" x14ac:dyDescent="0.3">
      <c r="A3" t="str">
        <f>B3&amp;"-"&amp;C3</f>
        <v>Conservador-PAPEL</v>
      </c>
      <c r="B3" t="s">
        <v>16</v>
      </c>
      <c r="C3" s="2" t="s">
        <v>23</v>
      </c>
      <c r="D3" s="4">
        <v>0.4</v>
      </c>
      <c r="H3" t="s">
        <v>29</v>
      </c>
    </row>
    <row r="4" spans="1:8" x14ac:dyDescent="0.3">
      <c r="A4" t="str">
        <f t="shared" ref="A4:A20" si="0">B4&amp;"-"&amp;C4</f>
        <v>Conservador-TIJOLO</v>
      </c>
      <c r="B4" t="s">
        <v>16</v>
      </c>
      <c r="C4" s="2" t="s">
        <v>24</v>
      </c>
      <c r="D4" s="4">
        <v>0.35</v>
      </c>
      <c r="G4" s="22" t="s">
        <v>31</v>
      </c>
      <c r="H4" s="26">
        <f>VLOOKUP(G4,$A:$D,4,FALSE)</f>
        <v>0.3</v>
      </c>
    </row>
    <row r="5" spans="1:8" x14ac:dyDescent="0.3">
      <c r="A5" t="str">
        <f t="shared" si="0"/>
        <v>Conservador-HÍBRIDOS</v>
      </c>
      <c r="B5" t="s">
        <v>16</v>
      </c>
      <c r="C5" s="2" t="s">
        <v>25</v>
      </c>
      <c r="D5" s="4">
        <v>0.1</v>
      </c>
    </row>
    <row r="6" spans="1:8" x14ac:dyDescent="0.3">
      <c r="A6" t="str">
        <f t="shared" si="0"/>
        <v>Conservador-FOFs</v>
      </c>
      <c r="B6" t="s">
        <v>16</v>
      </c>
      <c r="C6" s="2" t="s">
        <v>26</v>
      </c>
      <c r="D6" s="4">
        <v>0.1</v>
      </c>
    </row>
    <row r="7" spans="1:8" x14ac:dyDescent="0.3">
      <c r="A7" t="str">
        <f t="shared" si="0"/>
        <v>Conservador-DESENVOLVIMENTO</v>
      </c>
      <c r="B7" t="s">
        <v>16</v>
      </c>
      <c r="C7" s="2" t="s">
        <v>27</v>
      </c>
      <c r="D7" s="4">
        <v>0.03</v>
      </c>
    </row>
    <row r="8" spans="1:8" ht="15" thickBot="1" x14ac:dyDescent="0.35">
      <c r="A8" s="23" t="str">
        <f t="shared" si="0"/>
        <v>Conservador-HOTELARIAS</v>
      </c>
      <c r="B8" s="23" t="s">
        <v>16</v>
      </c>
      <c r="C8" s="24" t="s">
        <v>28</v>
      </c>
      <c r="D8" s="25">
        <v>0.02</v>
      </c>
    </row>
    <row r="9" spans="1:8" x14ac:dyDescent="0.3">
      <c r="A9" t="str">
        <f t="shared" si="0"/>
        <v>Moderado-PAPEL</v>
      </c>
      <c r="B9" t="s">
        <v>17</v>
      </c>
      <c r="C9" s="2" t="s">
        <v>23</v>
      </c>
      <c r="D9" s="4">
        <v>0.3</v>
      </c>
    </row>
    <row r="10" spans="1:8" x14ac:dyDescent="0.3">
      <c r="A10" s="29" t="str">
        <f t="shared" si="0"/>
        <v>Moderado-TIJOLO</v>
      </c>
      <c r="B10" s="29" t="s">
        <v>17</v>
      </c>
      <c r="C10" s="30" t="s">
        <v>24</v>
      </c>
      <c r="D10" s="31">
        <v>0.3</v>
      </c>
    </row>
    <row r="11" spans="1:8" x14ac:dyDescent="0.3">
      <c r="A11" t="str">
        <f t="shared" si="0"/>
        <v>Moderado-HÍBRIDOS</v>
      </c>
      <c r="B11" t="s">
        <v>17</v>
      </c>
      <c r="C11" s="2" t="s">
        <v>25</v>
      </c>
      <c r="D11" s="4">
        <v>0.15</v>
      </c>
    </row>
    <row r="12" spans="1:8" x14ac:dyDescent="0.3">
      <c r="A12" t="str">
        <f t="shared" si="0"/>
        <v>Moderado-FOFs</v>
      </c>
      <c r="B12" t="s">
        <v>17</v>
      </c>
      <c r="C12" s="2" t="s">
        <v>26</v>
      </c>
      <c r="D12" s="4">
        <v>0.1</v>
      </c>
    </row>
    <row r="13" spans="1:8" x14ac:dyDescent="0.3">
      <c r="A13" t="str">
        <f t="shared" si="0"/>
        <v>Moderado-DESENVOLVIMENTO</v>
      </c>
      <c r="B13" t="s">
        <v>17</v>
      </c>
      <c r="C13" s="2" t="s">
        <v>27</v>
      </c>
      <c r="D13" s="4">
        <v>0.1</v>
      </c>
    </row>
    <row r="14" spans="1:8" ht="15" thickBot="1" x14ac:dyDescent="0.35">
      <c r="A14" s="23" t="str">
        <f t="shared" si="0"/>
        <v>Moderado-HOTELARIAS</v>
      </c>
      <c r="B14" s="23" t="s">
        <v>17</v>
      </c>
      <c r="C14" s="24" t="s">
        <v>28</v>
      </c>
      <c r="D14" s="25">
        <v>0.05</v>
      </c>
    </row>
    <row r="15" spans="1:8" x14ac:dyDescent="0.3">
      <c r="A15" t="str">
        <f t="shared" si="0"/>
        <v>Agressivo-PAPEL</v>
      </c>
      <c r="B15" t="s">
        <v>18</v>
      </c>
      <c r="C15" s="2" t="s">
        <v>23</v>
      </c>
      <c r="D15" s="4">
        <v>0.2</v>
      </c>
    </row>
    <row r="16" spans="1:8" x14ac:dyDescent="0.3">
      <c r="A16" t="str">
        <f t="shared" si="0"/>
        <v>Agressivo-TIJOLO</v>
      </c>
      <c r="B16" t="s">
        <v>18</v>
      </c>
      <c r="C16" s="2" t="s">
        <v>24</v>
      </c>
      <c r="D16" s="4">
        <v>0.2</v>
      </c>
    </row>
    <row r="17" spans="1:4" x14ac:dyDescent="0.3">
      <c r="A17" t="str">
        <f t="shared" si="0"/>
        <v>Agressivo-HÍBRIDOS</v>
      </c>
      <c r="B17" t="s">
        <v>18</v>
      </c>
      <c r="C17" s="2" t="s">
        <v>25</v>
      </c>
      <c r="D17" s="4">
        <v>0.15</v>
      </c>
    </row>
    <row r="18" spans="1:4" x14ac:dyDescent="0.3">
      <c r="A18" t="str">
        <f t="shared" si="0"/>
        <v>Agressivo-FOFs</v>
      </c>
      <c r="B18" t="s">
        <v>18</v>
      </c>
      <c r="C18" s="2" t="s">
        <v>26</v>
      </c>
      <c r="D18" s="4">
        <v>0.1</v>
      </c>
    </row>
    <row r="19" spans="1:4" x14ac:dyDescent="0.3">
      <c r="A19" t="str">
        <f t="shared" si="0"/>
        <v>Agressivo-DESENVOLVIMENTO</v>
      </c>
      <c r="B19" t="s">
        <v>18</v>
      </c>
      <c r="C19" s="2" t="s">
        <v>27</v>
      </c>
      <c r="D19" s="4">
        <v>0.25</v>
      </c>
    </row>
    <row r="20" spans="1:4" x14ac:dyDescent="0.3">
      <c r="A20" t="str">
        <f t="shared" si="0"/>
        <v>Agressivo-HOTELARIAS</v>
      </c>
      <c r="B20" t="s">
        <v>18</v>
      </c>
      <c r="C20" s="2" t="s">
        <v>28</v>
      </c>
      <c r="D20" s="4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Dashboard</vt:lpstr>
      <vt:lpstr>Dados auxiliares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Filipe Del Vecchio Morasca - SGW Services</cp:lastModifiedBy>
  <dcterms:created xsi:type="dcterms:W3CDTF">2025-04-16T18:38:03Z</dcterms:created>
  <dcterms:modified xsi:type="dcterms:W3CDTF">2026-01-02T10:07:25Z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